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Chart" sheetId="1" r:id="rId5"/>
    <sheet state="visible" name="Summary Data" sheetId="2" r:id="rId6"/>
    <sheet state="visible" name="Manual Data" sheetId="3" r:id="rId7"/>
    <sheet state="visible" name="Automated Data" sheetId="4" r:id="rId8"/>
  </sheets>
  <definedNames/>
  <calcPr/>
</workbook>
</file>

<file path=xl/sharedStrings.xml><?xml version="1.0" encoding="utf-8"?>
<sst xmlns="http://schemas.openxmlformats.org/spreadsheetml/2006/main" count="31" uniqueCount="22">
  <si>
    <t>Condition</t>
  </si>
  <si>
    <t>Voltage_V</t>
  </si>
  <si>
    <t>Conditions</t>
  </si>
  <si>
    <t>Sample 1 (V)</t>
  </si>
  <si>
    <t>completely dry</t>
  </si>
  <si>
    <t>Sample 2 (V)</t>
  </si>
  <si>
    <t>Sample 3 (V)</t>
  </si>
  <si>
    <t>Completely Dry</t>
  </si>
  <si>
    <t>Measured</t>
  </si>
  <si>
    <t>blowing on it</t>
  </si>
  <si>
    <t>Blowing ont it</t>
  </si>
  <si>
    <t>Sampled with ADC</t>
  </si>
  <si>
    <t>Half wiped down with the wet wipe</t>
  </si>
  <si>
    <t>Entire surface wiped</t>
  </si>
  <si>
    <t>Wipe on the entire surface</t>
  </si>
  <si>
    <t>half wiped</t>
  </si>
  <si>
    <t>Average</t>
  </si>
  <si>
    <t>Std. Dev</t>
  </si>
  <si>
    <t>entire surface wiped</t>
  </si>
  <si>
    <t xml:space="preserve">left on </t>
  </si>
  <si>
    <t>Blowing on it</t>
  </si>
  <si>
    <t>Wipe on entire surface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</si>
</sst>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Measured Voltage Average vs. Sampled with ADC Voltage Average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'Summary Data'!$B$1:$B$2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Measured Average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0"/>
          </c:trendline>
          <c:xVal>
            <c:numRef>
              <c:f>'Summary Data'!$A$3:$A$7</c:f>
            </c:numRef>
          </c:xVal>
          <c:yVal>
            <c:numRef>
              <c:f>'Summary Data'!$B$3:$B$7</c:f>
              <c:numCache/>
            </c:numRef>
          </c:yVal>
        </c:ser>
        <c:ser>
          <c:idx val="1"/>
          <c:order val="1"/>
          <c:tx>
            <c:strRef>
              <c:f>'Summary Data'!$D$1:$D$2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Trendline for Sampled with ADC Average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0"/>
          </c:trendline>
          <c:xVal>
            <c:numRef>
              <c:f>'Summary Data'!$A$3:$A$7</c:f>
            </c:numRef>
          </c:xVal>
          <c:yVal>
            <c:numRef>
              <c:f>'Summary Data'!$D$3:$D$7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494720"/>
        <c:axId val="1552561933"/>
      </c:scatterChart>
      <c:valAx>
        <c:axId val="10484947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Conditions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2561933"/>
      </c:valAx>
      <c:valAx>
        <c:axId val="15525619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Voltage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84947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0</xdr:row>
      <xdr:rowOff>152400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</cols>
  <sheetData>
    <row r="1">
      <c r="A1" s="2" t="s">
        <v>2</v>
      </c>
      <c r="B1" s="2" t="s">
        <v>8</v>
      </c>
      <c r="D1" s="2" t="s">
        <v>11</v>
      </c>
    </row>
    <row r="2">
      <c r="B2" s="1" t="s">
        <v>16</v>
      </c>
      <c r="C2" s="1" t="s">
        <v>17</v>
      </c>
      <c r="D2" s="1" t="s">
        <v>16</v>
      </c>
      <c r="E2" s="1" t="s">
        <v>17</v>
      </c>
    </row>
    <row r="3">
      <c r="A3" s="1" t="s">
        <v>7</v>
      </c>
      <c r="B3" s="5">
        <f>AVERAGE('Manual Data'!B2:D2)</f>
        <v>3.280333333</v>
      </c>
      <c r="C3" s="5">
        <f>STDEV('Manual Data'!B2:D2)</f>
        <v>0.01059874206</v>
      </c>
      <c r="D3" s="5">
        <f>AVERAGE('Automated Data'!A2:A11)</f>
        <v>3.3</v>
      </c>
      <c r="E3" s="5">
        <f>STDEV('Automated Data'!A2:A11)</f>
        <v>0</v>
      </c>
    </row>
    <row r="4">
      <c r="A4" s="1" t="s">
        <v>20</v>
      </c>
      <c r="B4" s="5">
        <f>AVERAGE('Manual Data'!B3:D3)</f>
        <v>3.291333333</v>
      </c>
      <c r="C4" s="5">
        <f>STDEV('Manual Data'!B3:D3)</f>
        <v>0.007234178138</v>
      </c>
      <c r="D4" s="5">
        <f>AVERAGE('Automated Data'!A14:A23)</f>
        <v>3.3</v>
      </c>
      <c r="E4" s="5">
        <f>STDEV('Automated Data'!A14:A23)</f>
        <v>0</v>
      </c>
    </row>
    <row r="5">
      <c r="A5" s="1" t="s">
        <v>12</v>
      </c>
      <c r="B5" s="5">
        <f>AVERAGE('Manual Data'!B4:D4)</f>
        <v>2.751333333</v>
      </c>
      <c r="C5" s="5">
        <f>STDEV('Manual Data'!B4:D4)</f>
        <v>0.07534144499</v>
      </c>
      <c r="D5" s="5">
        <f>AVERAGE('Automated Data'!A26:A35)</f>
        <v>2.36358</v>
      </c>
      <c r="E5" s="5">
        <f>STDEV('Automated Data'!A26:A35)</f>
        <v>0.4855098873</v>
      </c>
    </row>
    <row r="6">
      <c r="A6" s="1" t="s">
        <v>13</v>
      </c>
      <c r="B6" s="5">
        <f>AVERAGE('Manual Data'!B5:D5)</f>
        <v>1.715</v>
      </c>
      <c r="C6" s="5">
        <f>STDEV('Manual Data'!B5:D5)</f>
        <v>0.1729392957</v>
      </c>
      <c r="D6" s="5">
        <f>AVERAGE('Automated Data'!A38:A47)</f>
        <v>1.40392</v>
      </c>
      <c r="E6" s="5">
        <f>STDEV('Automated Data'!A38:A47)</f>
        <v>0.3217353771</v>
      </c>
    </row>
    <row r="7">
      <c r="A7" s="1" t="s">
        <v>21</v>
      </c>
      <c r="B7" s="5">
        <f>AVERAGE('Manual Data'!B6:D6)</f>
        <v>0.5686666667</v>
      </c>
      <c r="C7" s="5">
        <f>STDEV('Manual Data'!B6:D6)</f>
        <v>0.2150868042</v>
      </c>
      <c r="D7" s="5">
        <f>AVERAGE('Automated Data'!A50:A59)</f>
        <v>1.1461</v>
      </c>
      <c r="E7" s="5">
        <f>STDEV('Automated Data'!A50:A59)</f>
        <v>0.06338841464</v>
      </c>
    </row>
  </sheetData>
  <mergeCells count="3">
    <mergeCell ref="A1:A2"/>
    <mergeCell ref="B1:C1"/>
    <mergeCell ref="D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</cols>
  <sheetData>
    <row r="1">
      <c r="A1" s="1" t="s">
        <v>0</v>
      </c>
      <c r="B1" s="1" t="s">
        <v>3</v>
      </c>
      <c r="C1" s="1" t="s">
        <v>5</v>
      </c>
      <c r="D1" s="1" t="s">
        <v>6</v>
      </c>
    </row>
    <row r="2">
      <c r="A2" s="1" t="s">
        <v>7</v>
      </c>
      <c r="B2" s="3">
        <v>3.269</v>
      </c>
      <c r="C2" s="3">
        <v>3.282</v>
      </c>
      <c r="D2" s="3">
        <v>3.29</v>
      </c>
    </row>
    <row r="3">
      <c r="A3" s="1" t="s">
        <v>10</v>
      </c>
      <c r="B3" s="3">
        <v>3.283</v>
      </c>
      <c r="C3" s="3">
        <v>3.296</v>
      </c>
      <c r="D3" s="3">
        <v>3.295</v>
      </c>
    </row>
    <row r="4">
      <c r="A4" s="1" t="s">
        <v>12</v>
      </c>
      <c r="B4" s="3">
        <v>2.812</v>
      </c>
      <c r="C4" s="3">
        <v>2.775</v>
      </c>
      <c r="D4" s="3">
        <v>2.667</v>
      </c>
    </row>
    <row r="5">
      <c r="A5" s="1" t="s">
        <v>13</v>
      </c>
      <c r="B5" s="3">
        <v>1.577</v>
      </c>
      <c r="C5" s="3">
        <v>1.909</v>
      </c>
      <c r="D5" s="3">
        <v>1.659</v>
      </c>
    </row>
    <row r="6">
      <c r="A6" s="1" t="s">
        <v>14</v>
      </c>
      <c r="B6" s="3">
        <v>0.389</v>
      </c>
      <c r="C6" s="3">
        <v>0.807</v>
      </c>
      <c r="D6" s="3">
        <v>0.51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</row>
    <row r="2">
      <c r="A2" s="1">
        <v>3.3</v>
      </c>
    </row>
    <row r="3">
      <c r="A3" s="1">
        <v>3.3</v>
      </c>
    </row>
    <row r="4">
      <c r="A4" s="1">
        <v>3.3</v>
      </c>
    </row>
    <row r="5">
      <c r="A5" s="1">
        <v>3.3</v>
      </c>
    </row>
    <row r="6">
      <c r="A6" s="1">
        <v>3.3</v>
      </c>
    </row>
    <row r="7">
      <c r="A7" s="1">
        <v>3.3</v>
      </c>
    </row>
    <row r="8">
      <c r="A8" s="1">
        <v>3.3</v>
      </c>
    </row>
    <row r="9">
      <c r="A9" s="1">
        <v>3.3</v>
      </c>
    </row>
    <row r="10">
      <c r="A10" s="1">
        <v>3.3</v>
      </c>
    </row>
    <row r="11">
      <c r="A11" s="1">
        <v>3.3</v>
      </c>
    </row>
    <row r="13">
      <c r="A13" s="1" t="s">
        <v>1</v>
      </c>
      <c r="B13" s="1" t="s">
        <v>9</v>
      </c>
    </row>
    <row r="14">
      <c r="A14" s="1">
        <v>3.3</v>
      </c>
    </row>
    <row r="15">
      <c r="A15" s="1">
        <v>3.3</v>
      </c>
    </row>
    <row r="16">
      <c r="A16" s="1">
        <v>3.3</v>
      </c>
    </row>
    <row r="17">
      <c r="A17" s="1">
        <v>3.3</v>
      </c>
    </row>
    <row r="18">
      <c r="A18" s="1">
        <v>3.3</v>
      </c>
    </row>
    <row r="19">
      <c r="A19" s="1">
        <v>3.3</v>
      </c>
    </row>
    <row r="20">
      <c r="A20" s="1">
        <v>3.3</v>
      </c>
    </row>
    <row r="21">
      <c r="A21" s="1">
        <v>3.3</v>
      </c>
    </row>
    <row r="22">
      <c r="A22" s="1">
        <v>3.3</v>
      </c>
    </row>
    <row r="23">
      <c r="A23" s="1">
        <v>3.3</v>
      </c>
    </row>
    <row r="25">
      <c r="A25" s="1" t="s">
        <v>1</v>
      </c>
      <c r="B25" s="1" t="s">
        <v>15</v>
      </c>
    </row>
    <row r="26">
      <c r="A26" s="1">
        <v>2.7278</v>
      </c>
    </row>
    <row r="27">
      <c r="A27" s="1">
        <v>2.7746</v>
      </c>
    </row>
    <row r="28">
      <c r="A28" s="1">
        <v>2.806</v>
      </c>
    </row>
    <row r="29">
      <c r="A29" s="1">
        <v>2.4829</v>
      </c>
    </row>
    <row r="30">
      <c r="A30" s="1">
        <v>2.6585</v>
      </c>
    </row>
    <row r="31">
      <c r="A31" s="1">
        <v>2.312</v>
      </c>
    </row>
    <row r="32">
      <c r="A32" s="1">
        <v>2.3434</v>
      </c>
    </row>
    <row r="33">
      <c r="A33" s="1">
        <v>2.1992</v>
      </c>
    </row>
    <row r="34">
      <c r="A34" s="1">
        <v>2.175</v>
      </c>
    </row>
    <row r="35">
      <c r="A35" s="1">
        <v>1.1564</v>
      </c>
    </row>
    <row r="37">
      <c r="A37" s="1" t="s">
        <v>1</v>
      </c>
      <c r="B37" s="1" t="s">
        <v>18</v>
      </c>
    </row>
    <row r="38">
      <c r="A38" s="1">
        <v>0.8631</v>
      </c>
    </row>
    <row r="39">
      <c r="A39" s="1">
        <v>0.8615</v>
      </c>
    </row>
    <row r="40">
      <c r="A40" s="1">
        <v>1.5964</v>
      </c>
    </row>
    <row r="41">
      <c r="A41" s="1">
        <v>1.6673</v>
      </c>
    </row>
    <row r="42">
      <c r="A42" s="1">
        <v>1.2789</v>
      </c>
    </row>
    <row r="43">
      <c r="A43" s="1">
        <v>1.845</v>
      </c>
    </row>
    <row r="44">
      <c r="A44" s="1">
        <v>1.436</v>
      </c>
    </row>
    <row r="45">
      <c r="A45" s="1">
        <v>1.4691</v>
      </c>
    </row>
    <row r="46">
      <c r="A46" s="1">
        <v>1.5029</v>
      </c>
    </row>
    <row r="47">
      <c r="A47" s="1">
        <v>1.519</v>
      </c>
    </row>
    <row r="49">
      <c r="A49" s="1" t="s">
        <v>1</v>
      </c>
      <c r="B49" s="1" t="s">
        <v>19</v>
      </c>
    </row>
    <row r="50">
      <c r="A50" s="4">
        <v>1.1709</v>
      </c>
    </row>
    <row r="51">
      <c r="A51" s="4">
        <v>1.1459</v>
      </c>
    </row>
    <row r="52">
      <c r="A52" s="4">
        <v>1.1572</v>
      </c>
    </row>
    <row r="53">
      <c r="A53" s="4">
        <v>1.1919</v>
      </c>
    </row>
    <row r="54">
      <c r="A54" s="4">
        <v>1.2032</v>
      </c>
    </row>
    <row r="55">
      <c r="A55" s="4">
        <v>1.2048</v>
      </c>
    </row>
    <row r="56">
      <c r="A56" s="4">
        <v>1.2064</v>
      </c>
    </row>
    <row r="57">
      <c r="A57" s="4">
        <v>1.0371</v>
      </c>
    </row>
    <row r="58">
      <c r="A58" s="4">
        <v>1.0662</v>
      </c>
    </row>
    <row r="59">
      <c r="A59" s="4">
        <v>1.0774</v>
      </c>
    </row>
  </sheetData>
  <drawing r:id="rId1"/>
</worksheet>
</file>